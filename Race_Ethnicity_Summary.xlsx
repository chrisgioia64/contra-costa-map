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E31E1C2A-9B64-4F0E-B21F-29900DEE16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Umm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3" l="1"/>
</calcChain>
</file>

<file path=xl/sharedStrings.xml><?xml version="1.0" encoding="utf-8"?>
<sst xmlns="http://schemas.openxmlformats.org/spreadsheetml/2006/main" count="78" uniqueCount="78">
  <si>
    <t>Other</t>
  </si>
  <si>
    <t>Asian</t>
  </si>
  <si>
    <t>Black</t>
  </si>
  <si>
    <t>Latino</t>
  </si>
  <si>
    <t>Community</t>
  </si>
  <si>
    <t>Latino Percent</t>
  </si>
  <si>
    <t>White Percent</t>
  </si>
  <si>
    <t>Black Percent</t>
  </si>
  <si>
    <t>Asian Percent</t>
  </si>
  <si>
    <t>Other Percent</t>
  </si>
  <si>
    <t>White</t>
  </si>
  <si>
    <t>Antioch city</t>
  </si>
  <si>
    <t>Brentwood city</t>
  </si>
  <si>
    <t>Clayton city</t>
  </si>
  <si>
    <t>Concord city</t>
  </si>
  <si>
    <t>Danville town</t>
  </si>
  <si>
    <t>El Cerrito city</t>
  </si>
  <si>
    <t>Hercules city</t>
  </si>
  <si>
    <t>Lafayette city</t>
  </si>
  <si>
    <t>Martinez city</t>
  </si>
  <si>
    <t>Moraga town</t>
  </si>
  <si>
    <t>Oakley city</t>
  </si>
  <si>
    <t>Orinda city</t>
  </si>
  <si>
    <t>Pinole city</t>
  </si>
  <si>
    <t>Pittsburg city</t>
  </si>
  <si>
    <t>Pleasant Hill city</t>
  </si>
  <si>
    <t>Richmond city</t>
  </si>
  <si>
    <t>Rollingwood CDP</t>
  </si>
  <si>
    <t>San Pablo city</t>
  </si>
  <si>
    <t>San Ramon city</t>
  </si>
  <si>
    <t>Walnut Creek city</t>
  </si>
  <si>
    <t>Acalanes Ridge CDP</t>
  </si>
  <si>
    <t>Alamo CDP</t>
  </si>
  <si>
    <t>Alhambra Valley CDP</t>
  </si>
  <si>
    <t>Bay Point CDP</t>
  </si>
  <si>
    <t>Bethel Island CDP</t>
  </si>
  <si>
    <t>Blackhawk CDP</t>
  </si>
  <si>
    <t>Byron CDP</t>
  </si>
  <si>
    <t>Camino Tassajara CDP</t>
  </si>
  <si>
    <t>Castle Hill CDP</t>
  </si>
  <si>
    <t>Clyde CDP</t>
  </si>
  <si>
    <t>Contra Costa Centre CDP</t>
  </si>
  <si>
    <t>Crockett CDP</t>
  </si>
  <si>
    <t>Diablo CDP</t>
  </si>
  <si>
    <t>Discovery Bay CDP</t>
  </si>
  <si>
    <t>East Richmond Heights CDP</t>
  </si>
  <si>
    <t>Kensington CDP</t>
  </si>
  <si>
    <t>Knightsen CDP</t>
  </si>
  <si>
    <t>Montalvin Manor CDP</t>
  </si>
  <si>
    <t>Mountain View CDP</t>
  </si>
  <si>
    <t>Norris Canyon CDP</t>
  </si>
  <si>
    <t>North Gate CDP</t>
  </si>
  <si>
    <t>North Richmond CDP</t>
  </si>
  <si>
    <t>Pacheco CDP</t>
  </si>
  <si>
    <t>Port Costa CDP</t>
  </si>
  <si>
    <t>Reliez Valley CDP</t>
  </si>
  <si>
    <t>Rodeo CDP</t>
  </si>
  <si>
    <t>Saranap CDP</t>
  </si>
  <si>
    <t>Shell Ridge CDP</t>
  </si>
  <si>
    <t>Tara Hills CDP</t>
  </si>
  <si>
    <t>Vine Hill CDP</t>
  </si>
  <si>
    <t xml:space="preserve">Bayview CDP </t>
  </si>
  <si>
    <t xml:space="preserve">El Sobrante CDP </t>
  </si>
  <si>
    <t xml:space="preserve">San Miguel CDP </t>
  </si>
  <si>
    <t>Contra Costa County</t>
  </si>
  <si>
    <t>District 1</t>
  </si>
  <si>
    <t>District 2</t>
  </si>
  <si>
    <t>District 3</t>
  </si>
  <si>
    <t>District 4</t>
  </si>
  <si>
    <t>District 5</t>
  </si>
  <si>
    <t>Households</t>
  </si>
  <si>
    <t>Population</t>
  </si>
  <si>
    <t>Source: US Census Bureau Decennial Census, 2020</t>
  </si>
  <si>
    <t>Foreign Born (%)</t>
  </si>
  <si>
    <t xml:space="preserve">U.S. Census Bureau, U.S. Department of Commerce. "Nativity in the United States." American Community Survey, ACS 5-Year Estimates Detailed Tables, Table B05012, 2023, </t>
  </si>
  <si>
    <t>Native</t>
  </si>
  <si>
    <t>Foreign</t>
  </si>
  <si>
    <t>Foreign Born - Total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</si>
</sst>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9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164" fontId="0" fillId="0" borderId="0" xfId="2" applyNumberFormat="1" applyFont="1"/>
    <xf numFmtId="0" fontId="21" fillId="0" borderId="10" xfId="0" applyFont="1" applyBorder="1" applyAlignment="1">
      <alignment horizontal="center" wrapText="1"/>
    </xf>
    <xf numFmtId="0" fontId="21" fillId="0" borderId="10" xfId="0" applyFont="1" applyBorder="1" applyAlignment="1">
      <alignment horizontal="center" vertical="center" wrapText="1"/>
    </xf>
    <xf numFmtId="165" fontId="0" fillId="0" borderId="0" xfId="1" applyNumberFormat="1" applyFont="1"/>
    <xf numFmtId="0" fontId="2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165" fontId="0" fillId="0" borderId="0" xfId="1" applyNumberFormat="1" applyFont="1" applyBorder="1"/>
    <xf numFmtId="165" fontId="2" fillId="0" borderId="0" xfId="1" applyNumberFormat="1" applyFont="1" applyBorder="1"/>
    <xf numFmtId="164" fontId="0" fillId="0" borderId="0" xfId="2" applyNumberFormat="1" applyFont="1" applyBorder="1"/>
    <xf numFmtId="165" fontId="0" fillId="0" borderId="0" xfId="1" applyNumberFormat="1" applyFont="1" applyBorder="1" applyAlignment="1">
      <alignment wrapText="1"/>
    </xf>
    <xf numFmtId="165" fontId="19" fillId="0" borderId="0" xfId="1" applyNumberFormat="1" applyFont="1" applyBorder="1" applyAlignment="1">
      <alignment horizontal="left" vertical="center" wrapText="1" indent="1"/>
    </xf>
    <xf numFmtId="0" fontId="0" fillId="0" borderId="0" xfId="0" applyAlignment="1">
      <alignment wrapText="1" indent="3"/>
    </xf>
    <xf numFmtId="0" fontId="0" fillId="0" borderId="0" xfId="0" applyAlignment="1">
      <alignment wrapText="1" indent="1"/>
    </xf>
    <xf numFmtId="0" fontId="20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 indent="1"/>
    </xf>
    <xf numFmtId="165" fontId="0" fillId="0" borderId="0" xfId="1" applyNumberFormat="1" applyFont="1" applyBorder="1" applyAlignment="1">
      <alignment wrapText="1" indent="3"/>
    </xf>
    <xf numFmtId="165" fontId="21" fillId="0" borderId="10" xfId="1" applyNumberFormat="1" applyFont="1" applyBorder="1" applyAlignment="1">
      <alignment horizontal="center" vertical="center" wrapText="1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B711-0B5A-41A1-886F-A39A6F95350E}">
  <dimension ref="A1:Q67"/>
  <sheetViews>
    <sheetView tabSelected="1" workbookViewId="0">
      <pane xSplit="1" topLeftCell="B1" activePane="topRight" state="frozen"/>
      <selection pane="topRight" activeCell="A2" sqref="A2"/>
    </sheetView>
  </sheetViews>
  <sheetFormatPr defaultColWidth="6.81640625" defaultRowHeight="14.5" x14ac:dyDescent="0.35"/>
  <cols>
    <col min="1" max="1" width="34.26953125" bestFit="1" customWidth="1"/>
    <col min="2" max="2" width="14.7265625" bestFit="1" customWidth="1"/>
    <col min="3" max="3" width="14.7265625" customWidth="1"/>
    <col min="4" max="7" width="11.81640625" customWidth="1"/>
    <col min="8" max="8" width="11.81640625" style="6" customWidth="1"/>
    <col min="9" max="13" width="11.81640625" customWidth="1"/>
    <col min="14" max="14" width="10.81640625" hidden="1" customWidth="1"/>
    <col min="15" max="15" width="9" hidden="1" customWidth="1"/>
    <col min="16" max="16" width="8" hidden="1" customWidth="1"/>
    <col min="17" max="17" width="13.26953125" style="3" customWidth="1"/>
  </cols>
  <sheetData>
    <row r="1" spans="1:17" ht="74.5" thickBot="1" x14ac:dyDescent="0.5">
      <c r="A1" s="16" t="s">
        <v>4</v>
      </c>
      <c r="B1" s="16" t="s">
        <v>70</v>
      </c>
      <c r="C1" s="5" t="s">
        <v>71</v>
      </c>
      <c r="D1" s="5" t="s">
        <v>3</v>
      </c>
      <c r="E1" s="5" t="s">
        <v>10</v>
      </c>
      <c r="F1" s="5" t="s">
        <v>2</v>
      </c>
      <c r="G1" s="5" t="s">
        <v>1</v>
      </c>
      <c r="H1" s="20" t="s">
        <v>0</v>
      </c>
      <c r="I1" s="5" t="s">
        <v>5</v>
      </c>
      <c r="J1" s="5" t="s">
        <v>6</v>
      </c>
      <c r="K1" s="5" t="s">
        <v>7</v>
      </c>
      <c r="L1" s="5" t="s">
        <v>8</v>
      </c>
      <c r="M1" s="4" t="s">
        <v>9</v>
      </c>
      <c r="N1" s="17" t="s">
        <v>77</v>
      </c>
      <c r="O1" s="17" t="s">
        <v>75</v>
      </c>
      <c r="P1" s="17" t="s">
        <v>76</v>
      </c>
      <c r="Q1" s="5" t="s">
        <v>73</v>
      </c>
    </row>
    <row r="2" spans="1:17" x14ac:dyDescent="0.35">
      <c r="A2" s="7" t="s">
        <v>64</v>
      </c>
      <c r="B2" s="13">
        <v>407169</v>
      </c>
      <c r="C2" s="2">
        <v>1168069</v>
      </c>
      <c r="D2" s="2">
        <v>315425</v>
      </c>
      <c r="E2" s="2">
        <v>455881</v>
      </c>
      <c r="F2" s="2">
        <v>98999</v>
      </c>
      <c r="G2" s="2">
        <v>215548</v>
      </c>
      <c r="H2" s="12">
        <v>83216</v>
      </c>
      <c r="I2" s="11">
        <v>0.27003969799729299</v>
      </c>
      <c r="J2" s="11">
        <v>0.39028601906223004</v>
      </c>
      <c r="K2" s="11">
        <v>8.4754410912369044E-2</v>
      </c>
      <c r="L2" s="11">
        <v>0.18453361916119682</v>
      </c>
      <c r="M2" s="11">
        <v>7.1242366675256338E-2</v>
      </c>
      <c r="N2" s="2">
        <v>1161458</v>
      </c>
      <c r="O2" s="2">
        <v>857641</v>
      </c>
      <c r="P2" s="2">
        <v>303817</v>
      </c>
      <c r="Q2" s="3">
        <v>0.26158242484876765</v>
      </c>
    </row>
    <row r="3" spans="1:17" x14ac:dyDescent="0.35">
      <c r="A3" s="7"/>
      <c r="B3" s="10"/>
      <c r="C3" s="7"/>
      <c r="D3" s="2"/>
      <c r="E3" s="2"/>
      <c r="F3" s="2"/>
      <c r="G3" s="2"/>
      <c r="H3" s="12"/>
      <c r="I3" s="11"/>
      <c r="J3" s="11"/>
      <c r="K3" s="11"/>
      <c r="L3" s="11"/>
      <c r="M3" s="11"/>
    </row>
    <row r="4" spans="1:17" x14ac:dyDescent="0.35">
      <c r="A4" s="7" t="s">
        <v>65</v>
      </c>
      <c r="B4" s="13">
        <v>79720</v>
      </c>
      <c r="C4" s="9">
        <v>236024</v>
      </c>
      <c r="D4" s="2">
        <v>95007</v>
      </c>
      <c r="E4" s="2">
        <v>51371</v>
      </c>
      <c r="F4" s="2">
        <v>33307</v>
      </c>
      <c r="G4" s="2">
        <v>40760</v>
      </c>
      <c r="H4" s="12">
        <v>15579</v>
      </c>
      <c r="I4" s="11">
        <v>0.40253109853235264</v>
      </c>
      <c r="J4" s="11">
        <v>0.21765159475307597</v>
      </c>
      <c r="K4" s="11">
        <v>0.14111700505033387</v>
      </c>
      <c r="L4" s="11">
        <v>0.17269430227434499</v>
      </c>
      <c r="M4" s="11">
        <v>6.6005999389892558E-2</v>
      </c>
      <c r="N4" s="6">
        <v>233324.51311475411</v>
      </c>
      <c r="O4" s="6">
        <v>153325.63843351547</v>
      </c>
      <c r="P4" s="6">
        <v>79998.874681238609</v>
      </c>
      <c r="Q4" s="3">
        <v>0.34286528069124655</v>
      </c>
    </row>
    <row r="5" spans="1:17" x14ac:dyDescent="0.35">
      <c r="A5" s="7" t="s">
        <v>66</v>
      </c>
      <c r="B5" s="13">
        <v>88632</v>
      </c>
      <c r="C5" s="9">
        <v>244847</v>
      </c>
      <c r="D5" s="2">
        <v>19790</v>
      </c>
      <c r="E5" s="2">
        <v>133513</v>
      </c>
      <c r="F5" s="2">
        <v>3878</v>
      </c>
      <c r="G5" s="2">
        <v>71376</v>
      </c>
      <c r="H5" s="12">
        <v>16290</v>
      </c>
      <c r="I5" s="11">
        <v>8.0825985207088502E-2</v>
      </c>
      <c r="J5" s="11">
        <v>0.54529154941657443</v>
      </c>
      <c r="K5" s="11">
        <v>1.583846238671497E-2</v>
      </c>
      <c r="L5" s="11">
        <v>0.29151265892577816</v>
      </c>
      <c r="M5" s="11">
        <v>6.653134406384395E-2</v>
      </c>
      <c r="N5" s="6">
        <v>241979.38597907394</v>
      </c>
      <c r="O5" s="6">
        <v>180185.52632022291</v>
      </c>
      <c r="P5" s="6">
        <v>61793.859658851055</v>
      </c>
      <c r="Q5" s="3">
        <v>0.25536828027241504</v>
      </c>
    </row>
    <row r="6" spans="1:17" x14ac:dyDescent="0.35">
      <c r="A6" s="7" t="s">
        <v>67</v>
      </c>
      <c r="B6" s="13">
        <v>70045</v>
      </c>
      <c r="C6" s="9">
        <v>227621</v>
      </c>
      <c r="D6" s="2">
        <v>71220</v>
      </c>
      <c r="E6" s="2">
        <v>83676</v>
      </c>
      <c r="F6" s="2">
        <v>27994</v>
      </c>
      <c r="G6" s="2">
        <v>27208</v>
      </c>
      <c r="H6" s="12">
        <v>17523</v>
      </c>
      <c r="I6" s="11">
        <v>0.31288852961721458</v>
      </c>
      <c r="J6" s="11">
        <v>0.36761107279205346</v>
      </c>
      <c r="K6" s="11">
        <v>0.1229851375751798</v>
      </c>
      <c r="L6" s="11">
        <v>0.11953202911857869</v>
      </c>
      <c r="M6" s="11">
        <v>7.6983230896973481E-2</v>
      </c>
      <c r="N6" s="6">
        <v>222408.37634562529</v>
      </c>
      <c r="O6" s="6">
        <v>177226.27832979723</v>
      </c>
      <c r="P6" s="6">
        <v>45182.098015828022</v>
      </c>
      <c r="Q6" s="3">
        <v>0.20314926424180399</v>
      </c>
    </row>
    <row r="7" spans="1:17" x14ac:dyDescent="0.35">
      <c r="A7" s="7" t="s">
        <v>68</v>
      </c>
      <c r="B7" s="13">
        <v>94640</v>
      </c>
      <c r="C7" s="9">
        <v>235565</v>
      </c>
      <c r="D7" s="2">
        <v>49278</v>
      </c>
      <c r="E7" s="2">
        <v>125111</v>
      </c>
      <c r="F7" s="2">
        <v>6969</v>
      </c>
      <c r="G7" s="2">
        <v>36208</v>
      </c>
      <c r="H7" s="12">
        <v>17999</v>
      </c>
      <c r="I7" s="11">
        <v>0.20919066924203511</v>
      </c>
      <c r="J7" s="11">
        <v>0.53111030925646852</v>
      </c>
      <c r="K7" s="11">
        <v>2.9584191199881135E-2</v>
      </c>
      <c r="L7" s="11">
        <v>0.15370704476471461</v>
      </c>
      <c r="M7" s="11">
        <v>7.6407785536900641E-2</v>
      </c>
      <c r="N7" s="6">
        <v>240081.86513704478</v>
      </c>
      <c r="O7" s="6">
        <v>183267.97824309947</v>
      </c>
      <c r="P7" s="6">
        <v>56813.886893945302</v>
      </c>
      <c r="Q7" s="3">
        <v>0.23664380840058247</v>
      </c>
    </row>
    <row r="8" spans="1:17" x14ac:dyDescent="0.35">
      <c r="A8" s="7" t="s">
        <v>69</v>
      </c>
      <c r="B8" s="13">
        <v>74132</v>
      </c>
      <c r="C8" s="12">
        <v>224012</v>
      </c>
      <c r="D8" s="2">
        <v>80130</v>
      </c>
      <c r="E8" s="2">
        <v>62210</v>
      </c>
      <c r="F8" s="2">
        <v>26851</v>
      </c>
      <c r="G8" s="2">
        <v>38996</v>
      </c>
      <c r="H8" s="12">
        <v>15825</v>
      </c>
      <c r="I8" s="11">
        <v>0.35770405156866597</v>
      </c>
      <c r="J8" s="11">
        <v>0.27770833705337217</v>
      </c>
      <c r="K8" s="11">
        <v>0.11986411442244166</v>
      </c>
      <c r="L8" s="11">
        <v>0.17407996000214274</v>
      </c>
      <c r="M8" s="11">
        <v>7.0643536953377495E-2</v>
      </c>
      <c r="N8" s="6">
        <v>223663.85942350185</v>
      </c>
      <c r="O8" s="6">
        <v>163635.57867336491</v>
      </c>
      <c r="P8" s="6">
        <v>60028.280750137004</v>
      </c>
      <c r="Q8" s="3">
        <f t="shared" ref="Q8" si="0">P8/N8</f>
        <v>0.26838614385382209</v>
      </c>
    </row>
    <row r="9" spans="1:17" x14ac:dyDescent="0.35">
      <c r="A9" s="8"/>
      <c r="B9" s="8"/>
      <c r="C9" s="1"/>
      <c r="D9" s="15"/>
      <c r="E9" s="14"/>
      <c r="F9" s="14"/>
      <c r="G9" s="14"/>
      <c r="H9" s="19"/>
      <c r="I9" s="15"/>
      <c r="J9" s="14"/>
      <c r="K9" s="14"/>
      <c r="L9" s="14"/>
      <c r="M9" s="14"/>
    </row>
    <row r="10" spans="1:17" x14ac:dyDescent="0.35">
      <c r="A10" s="8" t="s">
        <v>11</v>
      </c>
      <c r="B10" s="2">
        <v>35548</v>
      </c>
      <c r="C10" s="2">
        <v>115291</v>
      </c>
      <c r="D10" s="2">
        <v>41965</v>
      </c>
      <c r="E10" s="2">
        <v>26554</v>
      </c>
      <c r="F10" s="2">
        <v>23271</v>
      </c>
      <c r="G10" s="2">
        <v>14570</v>
      </c>
      <c r="H10" s="12">
        <v>8931</v>
      </c>
      <c r="I10" s="11">
        <v>0.36399198549756701</v>
      </c>
      <c r="J10" s="11">
        <v>0.23032153420475146</v>
      </c>
      <c r="K10" s="11">
        <v>0.2018457641966849</v>
      </c>
      <c r="L10" s="11">
        <v>0.12637586628618019</v>
      </c>
      <c r="M10" s="11">
        <v>7.7464849814816425E-2</v>
      </c>
      <c r="N10" s="2">
        <v>115759</v>
      </c>
      <c r="O10" s="2">
        <v>88180</v>
      </c>
      <c r="P10" s="2">
        <v>27579</v>
      </c>
      <c r="Q10" s="3">
        <v>0.23824497447282716</v>
      </c>
    </row>
    <row r="11" spans="1:17" x14ac:dyDescent="0.35">
      <c r="A11" s="8" t="s">
        <v>12</v>
      </c>
      <c r="B11" s="2">
        <v>20793</v>
      </c>
      <c r="C11" s="2">
        <v>64292</v>
      </c>
      <c r="D11" s="2">
        <v>17121</v>
      </c>
      <c r="E11" s="2">
        <v>29487</v>
      </c>
      <c r="F11" s="2">
        <v>4230</v>
      </c>
      <c r="G11" s="2">
        <v>8406</v>
      </c>
      <c r="H11" s="12">
        <v>5048</v>
      </c>
      <c r="I11" s="11">
        <v>0.26630062838300256</v>
      </c>
      <c r="J11" s="11">
        <v>0.458641821688546</v>
      </c>
      <c r="K11" s="11">
        <v>6.5793566851241214E-2</v>
      </c>
      <c r="L11" s="11">
        <v>0.13074721582778573</v>
      </c>
      <c r="M11" s="11">
        <v>7.8516767249424496E-2</v>
      </c>
      <c r="N11" s="2">
        <v>64609</v>
      </c>
      <c r="O11" s="2">
        <v>52445</v>
      </c>
      <c r="P11" s="2">
        <v>12164</v>
      </c>
      <c r="Q11" s="3">
        <v>0.1882709839186491</v>
      </c>
    </row>
    <row r="12" spans="1:17" x14ac:dyDescent="0.35">
      <c r="A12" s="8" t="s">
        <v>13</v>
      </c>
      <c r="B12" s="2">
        <v>4089</v>
      </c>
      <c r="C12" s="2">
        <v>11070</v>
      </c>
      <c r="D12" s="2">
        <v>1242</v>
      </c>
      <c r="E12" s="2">
        <v>7782</v>
      </c>
      <c r="F12" s="1">
        <v>172</v>
      </c>
      <c r="G12" s="2">
        <v>1014</v>
      </c>
      <c r="H12" s="12">
        <v>860</v>
      </c>
      <c r="I12" s="11">
        <v>0.11219512195121951</v>
      </c>
      <c r="J12" s="11">
        <v>0.70298102981029809</v>
      </c>
      <c r="K12" s="11">
        <v>1.5537488708220415E-2</v>
      </c>
      <c r="L12" s="11">
        <v>9.1598915989159896E-2</v>
      </c>
      <c r="M12" s="11">
        <v>7.7687443541102075E-2</v>
      </c>
      <c r="N12" s="2">
        <v>10962</v>
      </c>
      <c r="O12" s="2">
        <v>9411</v>
      </c>
      <c r="P12" s="2">
        <v>1551</v>
      </c>
      <c r="Q12" s="3">
        <v>0.14148877941981391</v>
      </c>
    </row>
    <row r="13" spans="1:17" x14ac:dyDescent="0.35">
      <c r="A13" s="8" t="s">
        <v>14</v>
      </c>
      <c r="B13" s="2">
        <v>45800</v>
      </c>
      <c r="C13" s="2">
        <v>125410</v>
      </c>
      <c r="D13" s="2">
        <v>38953</v>
      </c>
      <c r="E13" s="2">
        <v>54104</v>
      </c>
      <c r="F13" s="2">
        <v>4532</v>
      </c>
      <c r="G13" s="2">
        <v>18435</v>
      </c>
      <c r="H13" s="12">
        <v>9386</v>
      </c>
      <c r="I13" s="11">
        <v>0.31060521489514392</v>
      </c>
      <c r="J13" s="11">
        <v>0.43141695239614064</v>
      </c>
      <c r="K13" s="11">
        <v>3.6137469101347582E-2</v>
      </c>
      <c r="L13" s="11">
        <v>0.14699784706163782</v>
      </c>
      <c r="M13" s="11">
        <v>7.4842516545730001E-2</v>
      </c>
      <c r="N13" s="2">
        <v>124260</v>
      </c>
      <c r="O13" s="2">
        <v>92445</v>
      </c>
      <c r="P13" s="2">
        <v>31815</v>
      </c>
      <c r="Q13" s="3">
        <v>0.2560357315306615</v>
      </c>
    </row>
    <row r="14" spans="1:17" x14ac:dyDescent="0.35">
      <c r="A14" s="8" t="s">
        <v>15</v>
      </c>
      <c r="B14" s="2">
        <v>15630</v>
      </c>
      <c r="C14" s="2">
        <v>43582</v>
      </c>
      <c r="D14" s="2">
        <v>3952</v>
      </c>
      <c r="E14" s="2">
        <v>29819</v>
      </c>
      <c r="F14" s="1">
        <v>380</v>
      </c>
      <c r="G14" s="2">
        <v>6540</v>
      </c>
      <c r="H14" s="12">
        <v>2891</v>
      </c>
      <c r="I14" s="11">
        <v>9.0679638382818589E-2</v>
      </c>
      <c r="J14" s="11">
        <v>0.68420448809141388</v>
      </c>
      <c r="K14" s="11">
        <v>8.7191959983479415E-3</v>
      </c>
      <c r="L14" s="11">
        <v>0.15006195218209353</v>
      </c>
      <c r="M14" s="11">
        <v>6.6334725345326057E-2</v>
      </c>
      <c r="N14" s="2">
        <v>43426</v>
      </c>
      <c r="O14" s="2">
        <v>35197</v>
      </c>
      <c r="P14" s="2">
        <v>8229</v>
      </c>
      <c r="Q14" s="3">
        <v>0.18949477271680559</v>
      </c>
    </row>
    <row r="15" spans="1:17" x14ac:dyDescent="0.35">
      <c r="A15" s="8" t="s">
        <v>16</v>
      </c>
      <c r="B15" s="2">
        <v>10483</v>
      </c>
      <c r="C15" s="2">
        <v>25962</v>
      </c>
      <c r="D15" s="2">
        <v>3075</v>
      </c>
      <c r="E15" s="2">
        <v>11467</v>
      </c>
      <c r="F15" s="2">
        <v>1387</v>
      </c>
      <c r="G15" s="2">
        <v>7701</v>
      </c>
      <c r="H15" s="12">
        <v>2332</v>
      </c>
      <c r="I15" s="11">
        <v>0.11844233880286573</v>
      </c>
      <c r="J15" s="11">
        <v>0.44168399969185734</v>
      </c>
      <c r="K15" s="11">
        <v>5.3424235420999923E-2</v>
      </c>
      <c r="L15" s="11">
        <v>0.2966258377628842</v>
      </c>
      <c r="M15" s="11">
        <v>8.9823588321392811E-2</v>
      </c>
      <c r="N15" s="2">
        <v>25781</v>
      </c>
      <c r="O15" s="2">
        <v>17559</v>
      </c>
      <c r="P15" s="2">
        <v>8222</v>
      </c>
      <c r="Q15" s="3">
        <v>0.3189170319227338</v>
      </c>
    </row>
    <row r="16" spans="1:17" x14ac:dyDescent="0.35">
      <c r="A16" s="8" t="s">
        <v>17</v>
      </c>
      <c r="B16" s="2">
        <v>8861</v>
      </c>
      <c r="C16" s="2">
        <v>26016</v>
      </c>
      <c r="D16" s="2">
        <v>4320</v>
      </c>
      <c r="E16" s="2">
        <v>3688</v>
      </c>
      <c r="F16" s="2">
        <v>4084</v>
      </c>
      <c r="G16" s="2">
        <v>12037</v>
      </c>
      <c r="H16" s="12">
        <v>1887</v>
      </c>
      <c r="I16" s="11">
        <v>0.16605166051660517</v>
      </c>
      <c r="J16" s="11">
        <v>0.14175891758917589</v>
      </c>
      <c r="K16" s="11">
        <v>0.15698031980319804</v>
      </c>
      <c r="L16" s="11">
        <v>0.46267681426814267</v>
      </c>
      <c r="M16" s="11">
        <v>7.2532287822878225E-2</v>
      </c>
      <c r="N16" s="2">
        <v>26245</v>
      </c>
      <c r="O16" s="2">
        <v>17110</v>
      </c>
      <c r="P16" s="2">
        <v>9135</v>
      </c>
      <c r="Q16" s="3">
        <v>0.34806629834254144</v>
      </c>
    </row>
    <row r="17" spans="1:17" x14ac:dyDescent="0.35">
      <c r="A17" s="8" t="s">
        <v>18</v>
      </c>
      <c r="B17" s="2">
        <v>9506</v>
      </c>
      <c r="C17" s="2">
        <v>25391</v>
      </c>
      <c r="D17" s="2">
        <v>2075</v>
      </c>
      <c r="E17" s="2">
        <v>17950</v>
      </c>
      <c r="F17" s="1">
        <v>170</v>
      </c>
      <c r="G17" s="2">
        <v>3159</v>
      </c>
      <c r="H17" s="12">
        <v>2037</v>
      </c>
      <c r="I17" s="11">
        <v>8.1721869953920681E-2</v>
      </c>
      <c r="J17" s="11">
        <v>0.7069434051435548</v>
      </c>
      <c r="K17" s="11">
        <v>6.6952857311645859E-3</v>
      </c>
      <c r="L17" s="11">
        <v>0.12441416249852309</v>
      </c>
      <c r="M17" s="11">
        <v>8.0225276672836826E-2</v>
      </c>
      <c r="N17" s="2">
        <v>25277</v>
      </c>
      <c r="O17" s="2">
        <v>21723</v>
      </c>
      <c r="P17" s="2">
        <v>3554</v>
      </c>
      <c r="Q17" s="3">
        <v>0.14060212841713812</v>
      </c>
    </row>
    <row r="18" spans="1:17" x14ac:dyDescent="0.35">
      <c r="A18" s="8" t="s">
        <v>19</v>
      </c>
      <c r="B18" s="2">
        <v>14851</v>
      </c>
      <c r="C18" s="2">
        <v>37287</v>
      </c>
      <c r="D18" s="2">
        <v>6670</v>
      </c>
      <c r="E18" s="2">
        <v>22558</v>
      </c>
      <c r="F18" s="2">
        <v>1314</v>
      </c>
      <c r="G18" s="2">
        <v>3746</v>
      </c>
      <c r="H18" s="12">
        <v>2999</v>
      </c>
      <c r="I18" s="11">
        <v>0.1788827205192158</v>
      </c>
      <c r="J18" s="11">
        <v>0.60498296993590261</v>
      </c>
      <c r="K18" s="11">
        <v>3.5240164132271302E-2</v>
      </c>
      <c r="L18" s="11">
        <v>0.10046396867540966</v>
      </c>
      <c r="M18" s="11">
        <v>8.0430176737200626E-2</v>
      </c>
      <c r="N18" s="2">
        <v>36926</v>
      </c>
      <c r="O18" s="2">
        <v>32239</v>
      </c>
      <c r="P18" s="2">
        <v>4687</v>
      </c>
      <c r="Q18" s="3">
        <v>0.12692953474516599</v>
      </c>
    </row>
    <row r="19" spans="1:17" x14ac:dyDescent="0.35">
      <c r="A19" s="8" t="s">
        <v>20</v>
      </c>
      <c r="B19" s="2">
        <v>5698</v>
      </c>
      <c r="C19" s="2">
        <v>16870</v>
      </c>
      <c r="D19" s="2">
        <v>1652</v>
      </c>
      <c r="E19" s="2">
        <v>10440</v>
      </c>
      <c r="F19" s="1">
        <v>197</v>
      </c>
      <c r="G19" s="2">
        <v>3143</v>
      </c>
      <c r="H19" s="12">
        <v>1438</v>
      </c>
      <c r="I19" s="11">
        <v>9.7925311203319501E-2</v>
      </c>
      <c r="J19" s="11">
        <v>0.6188500296384114</v>
      </c>
      <c r="K19" s="11">
        <v>1.1677534084173088E-2</v>
      </c>
      <c r="L19" s="11">
        <v>0.18630705394190872</v>
      </c>
      <c r="M19" s="11">
        <v>8.5240071132187317E-2</v>
      </c>
      <c r="N19" s="2">
        <v>16790</v>
      </c>
      <c r="O19" s="2">
        <v>13591</v>
      </c>
      <c r="P19" s="2">
        <v>3199</v>
      </c>
      <c r="Q19" s="3">
        <v>0.1905300774270399</v>
      </c>
    </row>
    <row r="20" spans="1:17" x14ac:dyDescent="0.35">
      <c r="A20" s="8" t="s">
        <v>21</v>
      </c>
      <c r="B20" s="2">
        <v>13045</v>
      </c>
      <c r="C20" s="2">
        <v>43357</v>
      </c>
      <c r="D20" s="2">
        <v>15928</v>
      </c>
      <c r="E20" s="2">
        <v>16711</v>
      </c>
      <c r="F20" s="2">
        <v>3447</v>
      </c>
      <c r="G20" s="2">
        <v>3962</v>
      </c>
      <c r="H20" s="12">
        <v>3309</v>
      </c>
      <c r="I20" s="11">
        <v>0.36736859100029984</v>
      </c>
      <c r="J20" s="11">
        <v>0.38542795857646978</v>
      </c>
      <c r="K20" s="11">
        <v>7.9502733122679151E-2</v>
      </c>
      <c r="L20" s="11">
        <v>9.1380861221948009E-2</v>
      </c>
      <c r="M20" s="11">
        <v>7.6319856078603227E-2</v>
      </c>
      <c r="N20" s="2">
        <v>44311</v>
      </c>
      <c r="O20" s="2">
        <v>36421</v>
      </c>
      <c r="P20" s="2">
        <v>7890</v>
      </c>
      <c r="Q20" s="3">
        <v>0.17805962402112344</v>
      </c>
    </row>
    <row r="21" spans="1:17" x14ac:dyDescent="0.35">
      <c r="A21" s="8" t="s">
        <v>22</v>
      </c>
      <c r="B21" s="2">
        <v>6957</v>
      </c>
      <c r="C21" s="2">
        <v>19514</v>
      </c>
      <c r="D21" s="2">
        <v>1285</v>
      </c>
      <c r="E21" s="2">
        <v>13097</v>
      </c>
      <c r="F21" s="1">
        <v>188</v>
      </c>
      <c r="G21" s="2">
        <v>3388</v>
      </c>
      <c r="H21" s="12">
        <v>1556</v>
      </c>
      <c r="I21" s="11">
        <v>6.5850158860305416E-2</v>
      </c>
      <c r="J21" s="11">
        <v>0.67115916777698059</v>
      </c>
      <c r="K21" s="11">
        <v>9.6341088449318438E-3</v>
      </c>
      <c r="L21" s="11">
        <v>0.17361894024802707</v>
      </c>
      <c r="M21" s="11">
        <v>7.9737624269755045E-2</v>
      </c>
      <c r="N21" s="2">
        <v>19472</v>
      </c>
      <c r="O21" s="2">
        <v>15590</v>
      </c>
      <c r="P21" s="2">
        <v>3882</v>
      </c>
      <c r="Q21" s="3">
        <v>0.1993631881676253</v>
      </c>
    </row>
    <row r="22" spans="1:17" x14ac:dyDescent="0.35">
      <c r="A22" s="8" t="s">
        <v>23</v>
      </c>
      <c r="B22" s="2">
        <v>6860</v>
      </c>
      <c r="C22" s="2">
        <v>19022</v>
      </c>
      <c r="D22" s="2">
        <v>5093</v>
      </c>
      <c r="E22" s="2">
        <v>5555</v>
      </c>
      <c r="F22" s="2">
        <v>2050</v>
      </c>
      <c r="G22" s="2">
        <v>4811</v>
      </c>
      <c r="H22" s="12">
        <v>1513</v>
      </c>
      <c r="I22" s="11">
        <v>0.26774261381558195</v>
      </c>
      <c r="J22" s="11">
        <v>0.29203028072757858</v>
      </c>
      <c r="K22" s="11">
        <v>0.10776995058353485</v>
      </c>
      <c r="L22" s="11">
        <v>0.25291767427189571</v>
      </c>
      <c r="M22" s="11">
        <v>7.9539480601408891E-2</v>
      </c>
      <c r="N22" s="2">
        <v>18835</v>
      </c>
      <c r="O22" s="2">
        <v>13221</v>
      </c>
      <c r="P22" s="2">
        <v>5614</v>
      </c>
      <c r="Q22" s="3">
        <v>0.29806211839660207</v>
      </c>
    </row>
    <row r="23" spans="1:17" x14ac:dyDescent="0.35">
      <c r="A23" s="8" t="s">
        <v>24</v>
      </c>
      <c r="B23" s="2">
        <v>23370</v>
      </c>
      <c r="C23" s="2">
        <v>76416</v>
      </c>
      <c r="D23" s="2">
        <v>32300</v>
      </c>
      <c r="E23" s="2">
        <v>11888</v>
      </c>
      <c r="F23" s="2">
        <v>12441</v>
      </c>
      <c r="G23" s="2">
        <v>14725</v>
      </c>
      <c r="H23" s="12">
        <v>5062</v>
      </c>
      <c r="I23" s="11">
        <v>0.42268634840871022</v>
      </c>
      <c r="J23" s="11">
        <v>0.15556951423785595</v>
      </c>
      <c r="K23" s="11">
        <v>0.16280621859296482</v>
      </c>
      <c r="L23" s="11">
        <v>0.19269524706867672</v>
      </c>
      <c r="M23" s="11">
        <v>6.6242671691792293E-2</v>
      </c>
      <c r="N23" s="2">
        <v>75868</v>
      </c>
      <c r="O23" s="2">
        <v>51542</v>
      </c>
      <c r="P23" s="2">
        <v>24326</v>
      </c>
      <c r="Q23" s="3">
        <v>0.32063584119786998</v>
      </c>
    </row>
    <row r="24" spans="1:17" x14ac:dyDescent="0.35">
      <c r="A24" s="8" t="s">
        <v>25</v>
      </c>
      <c r="B24" s="2">
        <v>13918</v>
      </c>
      <c r="C24" s="2">
        <v>34613</v>
      </c>
      <c r="D24" s="2">
        <v>4957</v>
      </c>
      <c r="E24" s="2">
        <v>20716</v>
      </c>
      <c r="F24" s="1">
        <v>872</v>
      </c>
      <c r="G24" s="2">
        <v>5241</v>
      </c>
      <c r="H24" s="12">
        <v>2827</v>
      </c>
      <c r="I24" s="11">
        <v>0.14321208794383614</v>
      </c>
      <c r="J24" s="11">
        <v>0.59850345246005832</v>
      </c>
      <c r="K24" s="11">
        <v>2.5192846618322596E-2</v>
      </c>
      <c r="L24" s="11">
        <v>0.15141709762228064</v>
      </c>
      <c r="M24" s="11">
        <v>8.167451535550227E-2</v>
      </c>
      <c r="N24" s="2">
        <v>34335</v>
      </c>
      <c r="O24" s="2">
        <v>27971</v>
      </c>
      <c r="P24" s="2">
        <v>6364</v>
      </c>
      <c r="Q24" s="3">
        <v>0.1853502257171982</v>
      </c>
    </row>
    <row r="25" spans="1:17" x14ac:dyDescent="0.35">
      <c r="A25" s="8" t="s">
        <v>26</v>
      </c>
      <c r="B25" s="2">
        <v>38677</v>
      </c>
      <c r="C25" s="2">
        <v>116448</v>
      </c>
      <c r="D25" s="2">
        <v>51912</v>
      </c>
      <c r="E25" s="2">
        <v>18985</v>
      </c>
      <c r="F25" s="2">
        <v>21753</v>
      </c>
      <c r="G25" s="2">
        <v>16460</v>
      </c>
      <c r="H25" s="12">
        <v>7338</v>
      </c>
      <c r="I25" s="11">
        <v>0.44579554822753503</v>
      </c>
      <c r="J25" s="11">
        <v>0.16303414399560318</v>
      </c>
      <c r="K25" s="11">
        <v>0.18680441055234956</v>
      </c>
      <c r="L25" s="11">
        <v>0.1413506457818082</v>
      </c>
      <c r="M25" s="11">
        <v>6.3015251442704034E-2</v>
      </c>
      <c r="N25" s="2">
        <v>115396</v>
      </c>
      <c r="O25" s="2">
        <v>75536</v>
      </c>
      <c r="P25" s="2">
        <v>39860</v>
      </c>
      <c r="Q25" s="3">
        <v>0.34541925196713924</v>
      </c>
    </row>
    <row r="26" spans="1:17" x14ac:dyDescent="0.35">
      <c r="A26" s="8" t="s">
        <v>28</v>
      </c>
      <c r="B26" s="2">
        <v>9545</v>
      </c>
      <c r="C26" s="2">
        <v>32127</v>
      </c>
      <c r="D26" s="2">
        <v>19610</v>
      </c>
      <c r="E26" s="2">
        <v>2432</v>
      </c>
      <c r="F26" s="2">
        <v>3874</v>
      </c>
      <c r="G26" s="2">
        <v>4924</v>
      </c>
      <c r="H26" s="12">
        <v>1287</v>
      </c>
      <c r="I26" s="11">
        <v>0.61039001462943943</v>
      </c>
      <c r="J26" s="11">
        <v>7.5699567342111002E-2</v>
      </c>
      <c r="K26" s="11">
        <v>0.1205839325178199</v>
      </c>
      <c r="L26" s="11">
        <v>0.15326672269430697</v>
      </c>
      <c r="M26" s="11">
        <v>4.0059762816322717E-2</v>
      </c>
      <c r="N26" s="2">
        <v>31771</v>
      </c>
      <c r="O26" s="2">
        <v>18816</v>
      </c>
      <c r="P26" s="2">
        <v>12955</v>
      </c>
      <c r="Q26" s="3">
        <v>0.40776179534795881</v>
      </c>
    </row>
    <row r="27" spans="1:17" x14ac:dyDescent="0.35">
      <c r="A27" s="8" t="s">
        <v>29</v>
      </c>
      <c r="B27" s="2">
        <v>28447</v>
      </c>
      <c r="C27" s="2">
        <v>84605</v>
      </c>
      <c r="D27" s="2">
        <v>7102</v>
      </c>
      <c r="E27" s="2">
        <v>27140</v>
      </c>
      <c r="F27" s="2">
        <v>2113</v>
      </c>
      <c r="G27" s="2">
        <v>43052</v>
      </c>
      <c r="H27" s="12">
        <v>5198</v>
      </c>
      <c r="I27" s="11">
        <v>8.3943029371786534E-2</v>
      </c>
      <c r="J27" s="11">
        <v>0.32078482359198629</v>
      </c>
      <c r="K27" s="11">
        <v>2.4974883281129956E-2</v>
      </c>
      <c r="L27" s="11">
        <v>0.50885881449086934</v>
      </c>
      <c r="M27" s="11">
        <v>6.1438449264227882E-2</v>
      </c>
      <c r="N27" s="2">
        <v>85734</v>
      </c>
      <c r="O27" s="2">
        <v>53867</v>
      </c>
      <c r="P27" s="2">
        <v>31867</v>
      </c>
      <c r="Q27" s="3">
        <v>0.37169617654606107</v>
      </c>
    </row>
    <row r="28" spans="1:17" x14ac:dyDescent="0.35">
      <c r="A28" s="8" t="s">
        <v>30</v>
      </c>
      <c r="B28" s="2">
        <v>32246</v>
      </c>
      <c r="C28" s="2">
        <v>70127</v>
      </c>
      <c r="D28" s="2">
        <v>7304</v>
      </c>
      <c r="E28" s="2">
        <v>44922</v>
      </c>
      <c r="F28" s="2">
        <v>1477</v>
      </c>
      <c r="G28" s="2">
        <v>11538</v>
      </c>
      <c r="H28" s="12">
        <v>4886</v>
      </c>
      <c r="I28" s="11">
        <v>0.10415389222410769</v>
      </c>
      <c r="J28" s="11">
        <v>0.64058066080111797</v>
      </c>
      <c r="K28" s="11">
        <v>2.1061787899097351E-2</v>
      </c>
      <c r="L28" s="11">
        <v>0.16453006687866301</v>
      </c>
      <c r="M28" s="11">
        <v>6.9673592197013995E-2</v>
      </c>
      <c r="N28" s="2">
        <v>69790</v>
      </c>
      <c r="O28" s="2">
        <v>53346</v>
      </c>
      <c r="P28" s="2">
        <v>16444</v>
      </c>
      <c r="Q28" s="3">
        <v>0.23562114916177102</v>
      </c>
    </row>
    <row r="29" spans="1:17" x14ac:dyDescent="0.35">
      <c r="A29" s="8"/>
      <c r="B29" s="8"/>
      <c r="C29" s="2"/>
      <c r="D29" s="2"/>
      <c r="E29" s="2"/>
      <c r="F29" s="2"/>
      <c r="G29" s="2"/>
      <c r="H29" s="12"/>
      <c r="I29" s="11"/>
      <c r="J29" s="11"/>
      <c r="K29" s="11"/>
      <c r="L29" s="11"/>
      <c r="M29" s="11"/>
    </row>
    <row r="30" spans="1:17" x14ac:dyDescent="0.35">
      <c r="A30" s="8" t="s">
        <v>31</v>
      </c>
      <c r="B30" s="1">
        <v>475</v>
      </c>
      <c r="C30" s="2">
        <v>1285</v>
      </c>
      <c r="D30" s="1">
        <v>107</v>
      </c>
      <c r="E30" s="1">
        <v>918</v>
      </c>
      <c r="F30" s="1">
        <v>9</v>
      </c>
      <c r="G30" s="1">
        <v>175</v>
      </c>
      <c r="H30" s="12">
        <v>76</v>
      </c>
      <c r="I30" s="11">
        <v>8.3268482490272369E-2</v>
      </c>
      <c r="J30" s="11">
        <v>0.71439688715953309</v>
      </c>
      <c r="K30" s="11">
        <v>7.0038910505836579E-3</v>
      </c>
      <c r="L30" s="11">
        <v>0.13618677042801555</v>
      </c>
      <c r="M30" s="11">
        <v>5.9143968871595329E-2</v>
      </c>
      <c r="N30" s="2">
        <v>1025</v>
      </c>
      <c r="O30" s="1">
        <v>894</v>
      </c>
      <c r="P30" s="1">
        <v>131</v>
      </c>
      <c r="Q30" s="3">
        <v>0.12780487804878049</v>
      </c>
    </row>
    <row r="31" spans="1:17" x14ac:dyDescent="0.35">
      <c r="A31" s="8" t="s">
        <v>32</v>
      </c>
      <c r="B31" s="2">
        <v>5392</v>
      </c>
      <c r="C31" s="2">
        <v>15314</v>
      </c>
      <c r="D31" s="2">
        <v>1115</v>
      </c>
      <c r="E31" s="2">
        <v>11379</v>
      </c>
      <c r="F31" s="1">
        <v>114</v>
      </c>
      <c r="G31" s="2">
        <v>1784</v>
      </c>
      <c r="H31" s="12">
        <v>922</v>
      </c>
      <c r="I31" s="11">
        <v>7.2809194201384347E-2</v>
      </c>
      <c r="J31" s="11">
        <v>0.74304557920856729</v>
      </c>
      <c r="K31" s="11">
        <v>7.4441687344913151E-3</v>
      </c>
      <c r="L31" s="11">
        <v>0.11649471072221497</v>
      </c>
      <c r="M31" s="11">
        <v>6.0206347133342039E-2</v>
      </c>
      <c r="N31" s="2">
        <v>14441</v>
      </c>
      <c r="O31" s="2">
        <v>12515</v>
      </c>
      <c r="P31" s="2">
        <v>1926</v>
      </c>
      <c r="Q31" s="3">
        <v>0.13337026521709022</v>
      </c>
    </row>
    <row r="32" spans="1:17" x14ac:dyDescent="0.35">
      <c r="A32" s="8" t="s">
        <v>33</v>
      </c>
      <c r="B32" s="1">
        <v>308</v>
      </c>
      <c r="C32" s="1">
        <v>805</v>
      </c>
      <c r="D32" s="1">
        <v>100</v>
      </c>
      <c r="E32" s="1">
        <v>608</v>
      </c>
      <c r="F32" s="1">
        <v>11</v>
      </c>
      <c r="G32" s="1">
        <v>27</v>
      </c>
      <c r="H32" s="12">
        <v>59</v>
      </c>
      <c r="I32" s="11">
        <v>0.12422360248447205</v>
      </c>
      <c r="J32" s="11">
        <v>0.75527950310559011</v>
      </c>
      <c r="K32" s="11">
        <v>1.3664596273291925E-2</v>
      </c>
      <c r="L32" s="11">
        <v>3.354037267080745E-2</v>
      </c>
      <c r="M32" s="11">
        <v>7.3291925465838514E-2</v>
      </c>
      <c r="N32" s="1">
        <v>937</v>
      </c>
      <c r="O32" s="1">
        <v>925</v>
      </c>
      <c r="P32" s="1">
        <v>12</v>
      </c>
      <c r="Q32" s="3">
        <v>1.2806830309498399E-2</v>
      </c>
    </row>
    <row r="33" spans="1:17" ht="16.5" customHeight="1" x14ac:dyDescent="0.35">
      <c r="A33" s="8" t="s">
        <v>34</v>
      </c>
      <c r="B33" s="2">
        <v>6867</v>
      </c>
      <c r="C33" s="2">
        <v>23896</v>
      </c>
      <c r="D33" s="2">
        <v>14904</v>
      </c>
      <c r="E33" s="2">
        <v>3197</v>
      </c>
      <c r="F33" s="2">
        <v>2186</v>
      </c>
      <c r="G33" s="2">
        <v>2512</v>
      </c>
      <c r="H33" s="12">
        <v>1097</v>
      </c>
      <c r="I33" s="11">
        <v>0.62370271175092062</v>
      </c>
      <c r="J33" s="11">
        <v>0.13378808168731168</v>
      </c>
      <c r="K33" s="11">
        <v>9.1479745564111148E-2</v>
      </c>
      <c r="L33" s="11">
        <v>0.10512219618346166</v>
      </c>
      <c r="M33" s="11">
        <v>4.5907264814194847E-2</v>
      </c>
      <c r="N33" s="2">
        <v>24065</v>
      </c>
      <c r="O33" s="2">
        <v>14789</v>
      </c>
      <c r="P33" s="2">
        <v>9276</v>
      </c>
      <c r="Q33" s="3">
        <v>0.38545605651360898</v>
      </c>
    </row>
    <row r="34" spans="1:17" x14ac:dyDescent="0.35">
      <c r="A34" s="8" t="s">
        <v>61</v>
      </c>
      <c r="B34" s="1">
        <v>578</v>
      </c>
      <c r="C34" s="2">
        <v>1782</v>
      </c>
      <c r="D34" s="1">
        <v>528</v>
      </c>
      <c r="E34" s="1">
        <v>511</v>
      </c>
      <c r="F34" s="1">
        <v>161</v>
      </c>
      <c r="G34" s="1">
        <v>463</v>
      </c>
      <c r="H34" s="12">
        <v>119</v>
      </c>
      <c r="I34" s="11">
        <v>0.29629629629629628</v>
      </c>
      <c r="J34" s="11">
        <v>0.28675645342312012</v>
      </c>
      <c r="K34" s="11">
        <v>9.034792368125702E-2</v>
      </c>
      <c r="L34" s="11">
        <v>0.25982042648709314</v>
      </c>
      <c r="M34" s="11">
        <v>6.6778900112233447E-2</v>
      </c>
      <c r="N34" s="2">
        <v>2533</v>
      </c>
      <c r="O34" s="2">
        <v>1444</v>
      </c>
      <c r="P34" s="2">
        <v>1089</v>
      </c>
      <c r="Q34" s="3">
        <v>0.42992499013028029</v>
      </c>
    </row>
    <row r="35" spans="1:17" x14ac:dyDescent="0.35">
      <c r="A35" s="8" t="s">
        <v>35</v>
      </c>
      <c r="B35" s="1">
        <v>983</v>
      </c>
      <c r="C35" s="2">
        <v>2131</v>
      </c>
      <c r="D35" s="1">
        <v>447</v>
      </c>
      <c r="E35" s="2">
        <v>1453</v>
      </c>
      <c r="F35" s="1">
        <v>56</v>
      </c>
      <c r="G35" s="1">
        <v>48</v>
      </c>
      <c r="H35" s="12">
        <v>127</v>
      </c>
      <c r="I35" s="11">
        <v>0.20976067573908963</v>
      </c>
      <c r="J35" s="11">
        <v>0.68183951196621306</v>
      </c>
      <c r="K35" s="11">
        <v>2.6278742374472079E-2</v>
      </c>
      <c r="L35" s="11">
        <v>2.2524636320976069E-2</v>
      </c>
      <c r="M35" s="11">
        <v>5.9596433599249175E-2</v>
      </c>
      <c r="N35" s="2">
        <v>2144</v>
      </c>
      <c r="O35" s="2">
        <v>1572</v>
      </c>
      <c r="P35" s="1">
        <v>572</v>
      </c>
      <c r="Q35" s="3">
        <v>0.26679104477611942</v>
      </c>
    </row>
    <row r="36" spans="1:17" x14ac:dyDescent="0.35">
      <c r="A36" s="8" t="s">
        <v>36</v>
      </c>
      <c r="B36" s="2">
        <v>3395</v>
      </c>
      <c r="C36" s="2">
        <v>9637</v>
      </c>
      <c r="D36" s="1">
        <v>690</v>
      </c>
      <c r="E36" s="2">
        <v>5604</v>
      </c>
      <c r="F36" s="1">
        <v>154</v>
      </c>
      <c r="G36" s="2">
        <v>2627</v>
      </c>
      <c r="H36" s="12">
        <v>562</v>
      </c>
      <c r="I36" s="11">
        <v>7.1599045346062054E-2</v>
      </c>
      <c r="J36" s="11">
        <v>0.58150876828888654</v>
      </c>
      <c r="K36" s="11">
        <v>1.5980076787381964E-2</v>
      </c>
      <c r="L36" s="11">
        <v>0.27259520597696379</v>
      </c>
      <c r="M36" s="11">
        <v>5.8316903600705614E-2</v>
      </c>
      <c r="N36" s="2">
        <v>10404</v>
      </c>
      <c r="O36" s="2">
        <v>7949</v>
      </c>
      <c r="P36" s="2">
        <v>2455</v>
      </c>
      <c r="Q36" s="3">
        <v>0.23596693579392541</v>
      </c>
    </row>
    <row r="37" spans="1:17" x14ac:dyDescent="0.35">
      <c r="A37" s="8" t="s">
        <v>37</v>
      </c>
      <c r="B37" s="1">
        <v>374</v>
      </c>
      <c r="C37" s="2">
        <v>1140</v>
      </c>
      <c r="D37" s="1">
        <v>576</v>
      </c>
      <c r="E37" s="1">
        <v>509</v>
      </c>
      <c r="F37" s="1">
        <v>24</v>
      </c>
      <c r="G37" s="1">
        <v>5</v>
      </c>
      <c r="H37" s="12">
        <v>26</v>
      </c>
      <c r="I37" s="11">
        <v>0.50526315789473686</v>
      </c>
      <c r="J37" s="11">
        <v>0.44649122807017544</v>
      </c>
      <c r="K37" s="11">
        <v>2.1052631578947368E-2</v>
      </c>
      <c r="L37" s="11">
        <v>4.3859649122807015E-3</v>
      </c>
      <c r="M37" s="11">
        <v>2.2807017543859651E-2</v>
      </c>
      <c r="N37" s="2">
        <v>1876</v>
      </c>
      <c r="O37" s="2">
        <v>1510</v>
      </c>
      <c r="P37" s="1">
        <v>366</v>
      </c>
      <c r="Q37" s="3">
        <v>0.19509594882729211</v>
      </c>
    </row>
    <row r="38" spans="1:17" x14ac:dyDescent="0.35">
      <c r="A38" s="8" t="s">
        <v>38</v>
      </c>
      <c r="B38" s="2">
        <v>1439</v>
      </c>
      <c r="C38" s="2">
        <v>4951</v>
      </c>
      <c r="D38" s="1">
        <v>282</v>
      </c>
      <c r="E38" s="2">
        <v>1386</v>
      </c>
      <c r="F38" s="1">
        <v>103</v>
      </c>
      <c r="G38" s="2">
        <v>2845</v>
      </c>
      <c r="H38" s="12">
        <v>335</v>
      </c>
      <c r="I38" s="11">
        <v>5.6958190264593013E-2</v>
      </c>
      <c r="J38" s="11">
        <v>0.27994344576853158</v>
      </c>
      <c r="K38" s="11">
        <v>2.0803878004443548E-2</v>
      </c>
      <c r="L38" s="11">
        <v>0.57463138759846499</v>
      </c>
      <c r="M38" s="11">
        <v>6.7663098363966875E-2</v>
      </c>
      <c r="N38" s="2">
        <v>6395</v>
      </c>
      <c r="O38" s="2">
        <v>3691</v>
      </c>
      <c r="P38" s="2">
        <v>2704</v>
      </c>
      <c r="Q38" s="3">
        <v>0.42283033620015636</v>
      </c>
    </row>
    <row r="39" spans="1:17" x14ac:dyDescent="0.35">
      <c r="A39" s="8" t="s">
        <v>39</v>
      </c>
      <c r="B39" s="1">
        <v>455</v>
      </c>
      <c r="C39" s="2">
        <v>1271</v>
      </c>
      <c r="D39" s="1">
        <v>91</v>
      </c>
      <c r="E39" s="1">
        <v>921</v>
      </c>
      <c r="F39" s="1">
        <v>9</v>
      </c>
      <c r="G39" s="1">
        <v>147</v>
      </c>
      <c r="H39" s="12">
        <v>103</v>
      </c>
      <c r="I39" s="11">
        <v>7.1597167584579069E-2</v>
      </c>
      <c r="J39" s="11">
        <v>0.72462627852084971</v>
      </c>
      <c r="K39" s="11">
        <v>7.0810385523210071E-3</v>
      </c>
      <c r="L39" s="11">
        <v>0.11565696302124312</v>
      </c>
      <c r="M39" s="11">
        <v>8.1038552321007082E-2</v>
      </c>
      <c r="N39" s="2">
        <v>1303</v>
      </c>
      <c r="O39" s="1">
        <v>930</v>
      </c>
      <c r="P39" s="1">
        <v>373</v>
      </c>
      <c r="Q39" s="3">
        <v>0.28626247122026094</v>
      </c>
    </row>
    <row r="40" spans="1:17" x14ac:dyDescent="0.35">
      <c r="A40" s="8" t="s">
        <v>40</v>
      </c>
      <c r="B40" s="1">
        <v>288</v>
      </c>
      <c r="C40" s="1">
        <v>729</v>
      </c>
      <c r="D40" s="1">
        <v>144</v>
      </c>
      <c r="E40" s="1">
        <v>400</v>
      </c>
      <c r="F40" s="1">
        <v>33</v>
      </c>
      <c r="G40" s="1">
        <v>73</v>
      </c>
      <c r="H40" s="12">
        <v>79</v>
      </c>
      <c r="I40" s="11">
        <v>0.19753086419753085</v>
      </c>
      <c r="J40" s="11">
        <v>0.54869684499314131</v>
      </c>
      <c r="K40" s="11">
        <v>4.5267489711934158E-2</v>
      </c>
      <c r="L40" s="11">
        <v>0.10013717421124829</v>
      </c>
      <c r="M40" s="11">
        <v>0.1083676268861454</v>
      </c>
      <c r="N40" s="1">
        <v>716</v>
      </c>
      <c r="O40" s="1">
        <v>642</v>
      </c>
      <c r="P40" s="1">
        <v>74</v>
      </c>
      <c r="Q40" s="3">
        <v>0.10335195530726257</v>
      </c>
    </row>
    <row r="41" spans="1:17" x14ac:dyDescent="0.35">
      <c r="A41" s="8" t="s">
        <v>41</v>
      </c>
      <c r="B41" s="2">
        <v>3507</v>
      </c>
      <c r="C41" s="2">
        <v>6808</v>
      </c>
      <c r="D41" s="1">
        <v>833</v>
      </c>
      <c r="E41" s="2">
        <v>3234</v>
      </c>
      <c r="F41" s="1">
        <v>329</v>
      </c>
      <c r="G41" s="2">
        <v>1822</v>
      </c>
      <c r="H41" s="12">
        <v>590</v>
      </c>
      <c r="I41" s="11">
        <v>0.1223560517038778</v>
      </c>
      <c r="J41" s="11">
        <v>0.47502937720329025</v>
      </c>
      <c r="K41" s="11">
        <v>4.8325499412455931E-2</v>
      </c>
      <c r="L41" s="11">
        <v>0.26762632197414804</v>
      </c>
      <c r="M41" s="11">
        <v>8.6662749706227962E-2</v>
      </c>
      <c r="N41" s="2">
        <v>7127</v>
      </c>
      <c r="O41" s="2">
        <v>4524</v>
      </c>
      <c r="P41" s="2">
        <v>2603</v>
      </c>
      <c r="Q41" s="3">
        <v>0.36523081240353583</v>
      </c>
    </row>
    <row r="42" spans="1:17" x14ac:dyDescent="0.35">
      <c r="A42" s="8" t="s">
        <v>42</v>
      </c>
      <c r="B42" s="2">
        <v>1537</v>
      </c>
      <c r="C42" s="2">
        <v>3242</v>
      </c>
      <c r="D42" s="1">
        <v>625</v>
      </c>
      <c r="E42" s="2">
        <v>1952</v>
      </c>
      <c r="F42" s="1">
        <v>199</v>
      </c>
      <c r="G42" s="1">
        <v>176</v>
      </c>
      <c r="H42" s="12">
        <v>290</v>
      </c>
      <c r="I42" s="11">
        <v>0.19278223318938928</v>
      </c>
      <c r="J42" s="11">
        <v>0.60209747069710051</v>
      </c>
      <c r="K42" s="11">
        <v>6.1381863047501539E-2</v>
      </c>
      <c r="L42" s="11">
        <v>5.4287476866132015E-2</v>
      </c>
      <c r="M42" s="11">
        <v>8.9450956199876613E-2</v>
      </c>
      <c r="N42" s="2">
        <v>3642</v>
      </c>
      <c r="O42" s="2">
        <v>3197</v>
      </c>
      <c r="P42" s="1">
        <v>445</v>
      </c>
      <c r="Q42" s="3">
        <v>0.12218561230093355</v>
      </c>
    </row>
    <row r="43" spans="1:17" x14ac:dyDescent="0.35">
      <c r="A43" s="8" t="s">
        <v>43</v>
      </c>
      <c r="B43" s="1">
        <v>424</v>
      </c>
      <c r="C43" s="2">
        <v>1255</v>
      </c>
      <c r="D43" s="1">
        <v>80</v>
      </c>
      <c r="E43" s="2">
        <v>1001</v>
      </c>
      <c r="F43" s="1">
        <v>8</v>
      </c>
      <c r="G43" s="1">
        <v>100</v>
      </c>
      <c r="H43" s="12">
        <v>66</v>
      </c>
      <c r="I43" s="11">
        <v>6.3745019920318724E-2</v>
      </c>
      <c r="J43" s="11">
        <v>0.79760956175298803</v>
      </c>
      <c r="K43" s="11">
        <v>6.3745019920318727E-3</v>
      </c>
      <c r="L43" s="11">
        <v>7.9681274900398405E-2</v>
      </c>
      <c r="M43" s="11">
        <v>5.2589641434262951E-2</v>
      </c>
      <c r="N43" s="2">
        <v>1072</v>
      </c>
      <c r="O43" s="1">
        <v>892</v>
      </c>
      <c r="P43" s="1">
        <v>180</v>
      </c>
      <c r="Q43" s="3">
        <v>0.16791044776119404</v>
      </c>
    </row>
    <row r="44" spans="1:17" x14ac:dyDescent="0.35">
      <c r="A44" s="8" t="s">
        <v>44</v>
      </c>
      <c r="B44" s="2">
        <v>5525</v>
      </c>
      <c r="C44" s="2">
        <v>15358</v>
      </c>
      <c r="D44" s="2">
        <v>2865</v>
      </c>
      <c r="E44" s="2">
        <v>9734</v>
      </c>
      <c r="F44" s="1">
        <v>722</v>
      </c>
      <c r="G44" s="1">
        <v>880</v>
      </c>
      <c r="H44" s="12">
        <v>1157</v>
      </c>
      <c r="I44" s="11">
        <v>0.18654772756869384</v>
      </c>
      <c r="J44" s="11">
        <v>0.63380648521942962</v>
      </c>
      <c r="K44" s="11">
        <v>4.701132960020836E-2</v>
      </c>
      <c r="L44" s="11">
        <v>5.7299127490558668E-2</v>
      </c>
      <c r="M44" s="11">
        <v>7.5335330121109517E-2</v>
      </c>
      <c r="N44" s="2">
        <v>15243</v>
      </c>
      <c r="O44" s="2">
        <v>13550</v>
      </c>
      <c r="P44" s="2">
        <v>1693</v>
      </c>
      <c r="Q44" s="3">
        <v>0.11106737518861116</v>
      </c>
    </row>
    <row r="45" spans="1:17" x14ac:dyDescent="0.35">
      <c r="A45" s="8" t="s">
        <v>45</v>
      </c>
      <c r="B45" s="2">
        <v>1415</v>
      </c>
      <c r="C45" s="2">
        <v>3460</v>
      </c>
      <c r="D45" s="1">
        <v>511</v>
      </c>
      <c r="E45" s="2">
        <v>1819</v>
      </c>
      <c r="F45" s="1">
        <v>309</v>
      </c>
      <c r="G45" s="1">
        <v>459</v>
      </c>
      <c r="H45" s="12">
        <v>362</v>
      </c>
      <c r="I45" s="11">
        <v>0.1476878612716763</v>
      </c>
      <c r="J45" s="11">
        <v>0.52572254335260116</v>
      </c>
      <c r="K45" s="11">
        <v>8.9306358381502887E-2</v>
      </c>
      <c r="L45" s="11">
        <v>0.13265895953757226</v>
      </c>
      <c r="M45" s="11">
        <v>0.1046242774566474</v>
      </c>
      <c r="N45" s="2">
        <v>3311</v>
      </c>
      <c r="O45" s="2">
        <v>2856</v>
      </c>
      <c r="P45" s="1">
        <v>455</v>
      </c>
      <c r="Q45" s="3">
        <v>0.13742071881606766</v>
      </c>
    </row>
    <row r="46" spans="1:17" x14ac:dyDescent="0.35">
      <c r="A46" s="8" t="s">
        <v>62</v>
      </c>
      <c r="B46" s="2">
        <v>5491</v>
      </c>
      <c r="C46" s="2">
        <v>15524</v>
      </c>
      <c r="D46" s="2">
        <v>4646</v>
      </c>
      <c r="E46" s="2">
        <v>4871</v>
      </c>
      <c r="F46" s="2">
        <v>1766</v>
      </c>
      <c r="G46" s="2">
        <v>2874</v>
      </c>
      <c r="H46" s="12">
        <v>1367</v>
      </c>
      <c r="I46" s="11">
        <v>0.29927853645967534</v>
      </c>
      <c r="J46" s="11">
        <v>0.3137722236536975</v>
      </c>
      <c r="K46" s="11">
        <v>0.1137593403761917</v>
      </c>
      <c r="L46" s="11">
        <v>0.18513269775830971</v>
      </c>
      <c r="M46" s="11">
        <v>8.8057201752125738E-2</v>
      </c>
      <c r="N46" s="2">
        <v>15823</v>
      </c>
      <c r="O46" s="2">
        <v>10680</v>
      </c>
      <c r="P46" s="2">
        <v>5143</v>
      </c>
      <c r="Q46" s="3">
        <v>0.32503317954875816</v>
      </c>
    </row>
    <row r="47" spans="1:17" x14ac:dyDescent="0.35">
      <c r="A47" s="8" t="s">
        <v>46</v>
      </c>
      <c r="B47" s="2">
        <v>2220</v>
      </c>
      <c r="C47" s="2">
        <v>5428</v>
      </c>
      <c r="D47" s="1">
        <v>391</v>
      </c>
      <c r="E47" s="2">
        <v>3690</v>
      </c>
      <c r="F47" s="1">
        <v>96</v>
      </c>
      <c r="G47" s="1">
        <v>723</v>
      </c>
      <c r="H47" s="12">
        <v>528</v>
      </c>
      <c r="I47" s="11">
        <v>7.2033898305084748E-2</v>
      </c>
      <c r="J47" s="11">
        <v>0.67980840088430361</v>
      </c>
      <c r="K47" s="11">
        <v>1.7686072218128224E-2</v>
      </c>
      <c r="L47" s="11">
        <v>0.1331982313927782</v>
      </c>
      <c r="M47" s="11">
        <v>9.7273397199705236E-2</v>
      </c>
      <c r="N47" s="2">
        <v>5292</v>
      </c>
      <c r="O47" s="2">
        <v>4582</v>
      </c>
      <c r="P47" s="1">
        <v>710</v>
      </c>
      <c r="Q47" s="3">
        <v>0.13416477702191987</v>
      </c>
    </row>
    <row r="48" spans="1:17" x14ac:dyDescent="0.35">
      <c r="A48" s="8" t="s">
        <v>47</v>
      </c>
      <c r="B48" s="1">
        <v>529</v>
      </c>
      <c r="C48" s="2">
        <v>1596</v>
      </c>
      <c r="D48" s="1">
        <v>587</v>
      </c>
      <c r="E48" s="1">
        <v>883</v>
      </c>
      <c r="F48" s="1">
        <v>8</v>
      </c>
      <c r="G48" s="1">
        <v>25</v>
      </c>
      <c r="H48" s="12">
        <v>93</v>
      </c>
      <c r="I48" s="11">
        <v>0.36779448621553884</v>
      </c>
      <c r="J48" s="11">
        <v>0.55325814536340856</v>
      </c>
      <c r="K48" s="11">
        <v>5.0125313283208017E-3</v>
      </c>
      <c r="L48" s="11">
        <v>1.5664160401002505E-2</v>
      </c>
      <c r="M48" s="11">
        <v>5.827067669172932E-2</v>
      </c>
      <c r="N48" s="2">
        <v>2018</v>
      </c>
      <c r="O48" s="2">
        <v>1578</v>
      </c>
      <c r="P48" s="1">
        <v>440</v>
      </c>
      <c r="Q48" s="3">
        <v>0.21803766105054509</v>
      </c>
    </row>
    <row r="49" spans="1:17" x14ac:dyDescent="0.35">
      <c r="A49" s="8" t="s">
        <v>48</v>
      </c>
      <c r="B49" s="1">
        <v>888</v>
      </c>
      <c r="C49" s="2">
        <v>3099</v>
      </c>
      <c r="D49" s="2">
        <v>2024</v>
      </c>
      <c r="E49" s="1">
        <v>426</v>
      </c>
      <c r="F49" s="1">
        <v>195</v>
      </c>
      <c r="G49" s="1">
        <v>341</v>
      </c>
      <c r="H49" s="12">
        <v>113</v>
      </c>
      <c r="I49" s="11">
        <v>0.65311390771216526</v>
      </c>
      <c r="J49" s="11">
        <v>0.13746369796708616</v>
      </c>
      <c r="K49" s="11">
        <v>6.2923523717328164E-2</v>
      </c>
      <c r="L49" s="11">
        <v>0.11003549532107132</v>
      </c>
      <c r="M49" s="11">
        <v>3.6463375282349143E-2</v>
      </c>
      <c r="N49" s="2">
        <v>2080</v>
      </c>
      <c r="O49" s="1">
        <v>817</v>
      </c>
      <c r="P49" s="2">
        <v>1263</v>
      </c>
      <c r="Q49" s="3">
        <v>0.60721153846153841</v>
      </c>
    </row>
    <row r="50" spans="1:17" x14ac:dyDescent="0.35">
      <c r="A50" s="8" t="s">
        <v>49</v>
      </c>
      <c r="B50" s="2">
        <v>1008</v>
      </c>
      <c r="C50" s="2">
        <v>2622</v>
      </c>
      <c r="D50" s="1">
        <v>669</v>
      </c>
      <c r="E50" s="2">
        <v>1528</v>
      </c>
      <c r="F50" s="1">
        <v>65</v>
      </c>
      <c r="G50" s="1">
        <v>136</v>
      </c>
      <c r="H50" s="12">
        <v>224</v>
      </c>
      <c r="I50" s="11">
        <v>0.25514874141876431</v>
      </c>
      <c r="J50" s="11">
        <v>0.58276125095347064</v>
      </c>
      <c r="K50" s="11">
        <v>2.479023646071701E-2</v>
      </c>
      <c r="L50" s="11">
        <v>5.186880244088482E-2</v>
      </c>
      <c r="M50" s="11">
        <v>8.5430968726163237E-2</v>
      </c>
      <c r="N50" s="2">
        <v>2072</v>
      </c>
      <c r="O50" s="2">
        <v>1853</v>
      </c>
      <c r="P50" s="1">
        <v>219</v>
      </c>
      <c r="Q50" s="3">
        <v>0.10569498069498069</v>
      </c>
    </row>
    <row r="51" spans="1:17" x14ac:dyDescent="0.35">
      <c r="A51" s="8" t="s">
        <v>50</v>
      </c>
      <c r="B51" s="1">
        <v>360</v>
      </c>
      <c r="C51" s="2">
        <v>1313</v>
      </c>
      <c r="D51" s="1">
        <v>43</v>
      </c>
      <c r="E51" s="1">
        <v>309</v>
      </c>
      <c r="F51" s="1">
        <v>25</v>
      </c>
      <c r="G51" s="1">
        <v>879</v>
      </c>
      <c r="H51" s="12">
        <v>57</v>
      </c>
      <c r="I51" s="11">
        <v>3.2749428789032753E-2</v>
      </c>
      <c r="J51" s="11">
        <v>0.23533891850723535</v>
      </c>
      <c r="K51" s="11">
        <v>1.9040365575019039E-2</v>
      </c>
      <c r="L51" s="11">
        <v>0.66945925361766945</v>
      </c>
      <c r="M51" s="11">
        <v>4.3412033511043412E-2</v>
      </c>
      <c r="N51" s="1">
        <v>846</v>
      </c>
      <c r="O51" s="1">
        <v>324</v>
      </c>
      <c r="P51" s="1">
        <v>522</v>
      </c>
      <c r="Q51" s="3">
        <v>0.61702127659574468</v>
      </c>
    </row>
    <row r="52" spans="1:17" x14ac:dyDescent="0.35">
      <c r="A52" s="8" t="s">
        <v>51</v>
      </c>
      <c r="B52" s="1">
        <v>251</v>
      </c>
      <c r="C52" s="1">
        <v>667</v>
      </c>
      <c r="D52" s="1">
        <v>68</v>
      </c>
      <c r="E52" s="1">
        <v>480</v>
      </c>
      <c r="F52" s="1">
        <v>2</v>
      </c>
      <c r="G52" s="1">
        <v>71</v>
      </c>
      <c r="H52" s="12">
        <v>46</v>
      </c>
      <c r="I52" s="11">
        <v>0.10194902548725637</v>
      </c>
      <c r="J52" s="11">
        <v>0.71964017991004503</v>
      </c>
      <c r="K52" s="11">
        <v>2.9985007496251873E-3</v>
      </c>
      <c r="L52" s="11">
        <v>0.10644677661169415</v>
      </c>
      <c r="M52" s="11">
        <v>6.8965517241379309E-2</v>
      </c>
      <c r="N52" s="1">
        <v>719</v>
      </c>
      <c r="O52" s="1">
        <v>435</v>
      </c>
      <c r="P52" s="1">
        <v>284</v>
      </c>
      <c r="Q52" s="3">
        <v>0.39499304589707929</v>
      </c>
    </row>
    <row r="53" spans="1:17" x14ac:dyDescent="0.35">
      <c r="A53" s="8" t="s">
        <v>52</v>
      </c>
      <c r="B53" s="2">
        <v>1082</v>
      </c>
      <c r="C53" s="2">
        <v>4175</v>
      </c>
      <c r="D53" s="2">
        <v>2833</v>
      </c>
      <c r="E53" s="1">
        <v>134</v>
      </c>
      <c r="F53" s="1">
        <v>673</v>
      </c>
      <c r="G53" s="1">
        <v>378</v>
      </c>
      <c r="H53" s="12">
        <v>157</v>
      </c>
      <c r="I53" s="11">
        <v>0.67856287425149697</v>
      </c>
      <c r="J53" s="11">
        <v>3.2095808383233532E-2</v>
      </c>
      <c r="K53" s="11">
        <v>0.16119760479041917</v>
      </c>
      <c r="L53" s="11">
        <v>9.0538922155688623E-2</v>
      </c>
      <c r="M53" s="11">
        <v>3.7604790419161677E-2</v>
      </c>
      <c r="N53" s="2">
        <v>3935</v>
      </c>
      <c r="O53" s="2">
        <v>2398</v>
      </c>
      <c r="P53" s="2">
        <v>1537</v>
      </c>
      <c r="Q53" s="3">
        <v>0.39059720457433289</v>
      </c>
    </row>
    <row r="54" spans="1:17" x14ac:dyDescent="0.35">
      <c r="A54" s="8" t="s">
        <v>53</v>
      </c>
      <c r="B54" s="2">
        <v>1630</v>
      </c>
      <c r="C54" s="2">
        <v>4183</v>
      </c>
      <c r="D54" s="2">
        <v>1329</v>
      </c>
      <c r="E54" s="2">
        <v>1996</v>
      </c>
      <c r="F54" s="1">
        <v>74</v>
      </c>
      <c r="G54" s="1">
        <v>470</v>
      </c>
      <c r="H54" s="12">
        <v>314</v>
      </c>
      <c r="I54" s="11">
        <v>0.3177145589289983</v>
      </c>
      <c r="J54" s="11">
        <v>0.47716949557733684</v>
      </c>
      <c r="K54" s="11">
        <v>1.7690652641644752E-2</v>
      </c>
      <c r="L54" s="11">
        <v>0.11235955056179775</v>
      </c>
      <c r="M54" s="11">
        <v>7.5065742290222323E-2</v>
      </c>
      <c r="N54" s="2">
        <v>4657</v>
      </c>
      <c r="O54" s="2">
        <v>3613</v>
      </c>
      <c r="P54" s="2">
        <v>1044</v>
      </c>
      <c r="Q54" s="3">
        <v>0.22417865578698734</v>
      </c>
    </row>
    <row r="55" spans="1:17" x14ac:dyDescent="0.35">
      <c r="A55" s="8" t="s">
        <v>54</v>
      </c>
      <c r="B55" s="1">
        <v>104</v>
      </c>
      <c r="C55" s="1">
        <v>190</v>
      </c>
      <c r="D55" s="1">
        <v>18</v>
      </c>
      <c r="E55" s="1">
        <v>146</v>
      </c>
      <c r="F55" s="1">
        <v>0</v>
      </c>
      <c r="G55" s="1">
        <v>5</v>
      </c>
      <c r="H55" s="12">
        <v>21</v>
      </c>
      <c r="I55" s="11">
        <v>9.4736842105263161E-2</v>
      </c>
      <c r="J55" s="11">
        <v>0.76842105263157889</v>
      </c>
      <c r="K55" s="11">
        <v>0</v>
      </c>
      <c r="L55" s="11">
        <v>2.6315789473684209E-2</v>
      </c>
      <c r="M55" s="11">
        <v>0.11052631578947368</v>
      </c>
      <c r="N55" s="1">
        <v>194</v>
      </c>
      <c r="O55" s="1">
        <v>175</v>
      </c>
      <c r="P55" s="1">
        <v>19</v>
      </c>
      <c r="Q55" s="3">
        <v>9.7938144329896906E-2</v>
      </c>
    </row>
    <row r="56" spans="1:17" x14ac:dyDescent="0.35">
      <c r="A56" s="8" t="s">
        <v>55</v>
      </c>
      <c r="B56" s="2">
        <v>1251</v>
      </c>
      <c r="C56" s="2">
        <v>3354</v>
      </c>
      <c r="D56" s="1">
        <v>271</v>
      </c>
      <c r="E56" s="2">
        <v>2397</v>
      </c>
      <c r="F56" s="1">
        <v>61</v>
      </c>
      <c r="G56" s="1">
        <v>385</v>
      </c>
      <c r="H56" s="12">
        <v>240</v>
      </c>
      <c r="I56" s="11">
        <v>8.0799045915324982E-2</v>
      </c>
      <c r="J56" s="11">
        <v>0.71466905187835417</v>
      </c>
      <c r="K56" s="11">
        <v>1.8187239117471676E-2</v>
      </c>
      <c r="L56" s="11">
        <v>0.11478831246273107</v>
      </c>
      <c r="M56" s="11">
        <v>7.1556350626118065E-2</v>
      </c>
      <c r="N56" s="2">
        <v>3006</v>
      </c>
      <c r="O56" s="2">
        <v>2347</v>
      </c>
      <c r="P56" s="1">
        <v>659</v>
      </c>
      <c r="Q56" s="3">
        <v>0.21922821024617431</v>
      </c>
    </row>
    <row r="57" spans="1:17" x14ac:dyDescent="0.35">
      <c r="A57" s="8" t="s">
        <v>56</v>
      </c>
      <c r="B57" s="2">
        <v>3120</v>
      </c>
      <c r="C57" s="2">
        <v>9653</v>
      </c>
      <c r="D57" s="2">
        <v>2859</v>
      </c>
      <c r="E57" s="2">
        <v>2363</v>
      </c>
      <c r="F57" s="2">
        <v>1400</v>
      </c>
      <c r="G57" s="2">
        <v>2265</v>
      </c>
      <c r="H57" s="12">
        <v>766</v>
      </c>
      <c r="I57" s="11">
        <v>0.29617735419040714</v>
      </c>
      <c r="J57" s="11">
        <v>0.24479436444628613</v>
      </c>
      <c r="K57" s="11">
        <v>0.14503263234227701</v>
      </c>
      <c r="L57" s="11">
        <v>0.23464208018232674</v>
      </c>
      <c r="M57" s="11">
        <v>7.9353568838702995E-2</v>
      </c>
      <c r="N57" s="2">
        <v>8735</v>
      </c>
      <c r="O57" s="2">
        <v>6750</v>
      </c>
      <c r="P57" s="2">
        <v>1985</v>
      </c>
      <c r="Q57" s="3">
        <v>0.22724670864338867</v>
      </c>
    </row>
    <row r="58" spans="1:17" x14ac:dyDescent="0.35">
      <c r="A58" s="8" t="s">
        <v>27</v>
      </c>
      <c r="B58" s="1">
        <v>727</v>
      </c>
      <c r="C58" s="2">
        <v>3015</v>
      </c>
      <c r="D58" s="2">
        <v>2039</v>
      </c>
      <c r="E58" s="1">
        <v>242</v>
      </c>
      <c r="F58" s="1">
        <v>109</v>
      </c>
      <c r="G58" s="1">
        <v>505</v>
      </c>
      <c r="H58" s="12">
        <v>120</v>
      </c>
      <c r="I58" s="11">
        <v>0.67628524046434491</v>
      </c>
      <c r="J58" s="11">
        <v>8.0265339966832508E-2</v>
      </c>
      <c r="K58" s="11">
        <v>3.6152570480928688E-2</v>
      </c>
      <c r="L58" s="11">
        <v>0.16749585406301823</v>
      </c>
      <c r="M58" s="11">
        <v>3.9800995024875621E-2</v>
      </c>
      <c r="N58" s="2">
        <v>3623</v>
      </c>
      <c r="O58" s="2">
        <v>1663</v>
      </c>
      <c r="P58" s="2">
        <v>1960</v>
      </c>
      <c r="Q58" s="3">
        <v>0.54098813138283186</v>
      </c>
    </row>
    <row r="59" spans="1:17" x14ac:dyDescent="0.35">
      <c r="A59" s="8" t="s">
        <v>63</v>
      </c>
      <c r="B59" s="2">
        <v>1296</v>
      </c>
      <c r="C59" s="2">
        <v>3591</v>
      </c>
      <c r="D59" s="1">
        <v>288</v>
      </c>
      <c r="E59" s="2">
        <v>2737</v>
      </c>
      <c r="F59" s="1">
        <v>23</v>
      </c>
      <c r="G59" s="1">
        <v>299</v>
      </c>
      <c r="H59" s="12">
        <v>244</v>
      </c>
      <c r="I59" s="11">
        <v>8.0200501253132828E-2</v>
      </c>
      <c r="J59" s="11">
        <v>0.76218323586744641</v>
      </c>
      <c r="K59" s="11">
        <v>6.4049011417432467E-3</v>
      </c>
      <c r="L59" s="11">
        <v>8.3263714842662206E-2</v>
      </c>
      <c r="M59" s="11">
        <v>6.7947646895015312E-2</v>
      </c>
      <c r="N59" s="2">
        <v>3991</v>
      </c>
      <c r="O59" s="2">
        <v>3482</v>
      </c>
      <c r="P59" s="1">
        <v>509</v>
      </c>
      <c r="Q59" s="3">
        <v>0.12753695815585067</v>
      </c>
    </row>
    <row r="60" spans="1:17" x14ac:dyDescent="0.35">
      <c r="A60" s="8" t="s">
        <v>57</v>
      </c>
      <c r="B60" s="2">
        <v>2250</v>
      </c>
      <c r="C60" s="2">
        <v>5830</v>
      </c>
      <c r="D60" s="1">
        <v>623</v>
      </c>
      <c r="E60" s="2">
        <v>4011</v>
      </c>
      <c r="F60" s="1">
        <v>86</v>
      </c>
      <c r="G60" s="1">
        <v>633</v>
      </c>
      <c r="H60" s="12">
        <v>477</v>
      </c>
      <c r="I60" s="11">
        <v>0.10686106346483705</v>
      </c>
      <c r="J60" s="11">
        <v>0.68799313893653513</v>
      </c>
      <c r="K60" s="11">
        <v>1.4751286449399657E-2</v>
      </c>
      <c r="L60" s="11">
        <v>0.10857632933104631</v>
      </c>
      <c r="M60" s="11">
        <v>8.1818181818181818E-2</v>
      </c>
      <c r="N60" s="2">
        <v>5693</v>
      </c>
      <c r="O60" s="2">
        <v>5018</v>
      </c>
      <c r="P60" s="1">
        <v>675</v>
      </c>
      <c r="Q60" s="3">
        <v>0.11856666081152292</v>
      </c>
    </row>
    <row r="61" spans="1:17" x14ac:dyDescent="0.35">
      <c r="A61" s="8" t="s">
        <v>58</v>
      </c>
      <c r="B61" s="1">
        <v>367</v>
      </c>
      <c r="C61" s="2">
        <v>1014</v>
      </c>
      <c r="D61" s="1">
        <v>73</v>
      </c>
      <c r="E61" s="1">
        <v>736</v>
      </c>
      <c r="F61" s="1">
        <v>6</v>
      </c>
      <c r="G61" s="1">
        <v>125</v>
      </c>
      <c r="H61" s="12">
        <v>74</v>
      </c>
      <c r="I61" s="11">
        <v>7.1992110453648922E-2</v>
      </c>
      <c r="J61" s="11">
        <v>0.7258382642998028</v>
      </c>
      <c r="K61" s="11">
        <v>5.9171597633136093E-3</v>
      </c>
      <c r="L61" s="11">
        <v>0.1232741617357002</v>
      </c>
      <c r="M61" s="11">
        <v>7.2978303747534515E-2</v>
      </c>
      <c r="N61" s="1">
        <v>998</v>
      </c>
      <c r="O61" s="1">
        <v>896</v>
      </c>
      <c r="P61" s="1">
        <v>102</v>
      </c>
      <c r="Q61" s="3">
        <v>0.10220440881763528</v>
      </c>
    </row>
    <row r="62" spans="1:17" x14ac:dyDescent="0.35">
      <c r="A62" s="8" t="s">
        <v>59</v>
      </c>
      <c r="B62" s="2">
        <v>1737</v>
      </c>
      <c r="C62" s="2">
        <v>5364</v>
      </c>
      <c r="D62" s="2">
        <v>2205</v>
      </c>
      <c r="E62" s="2">
        <v>1146</v>
      </c>
      <c r="F62" s="1">
        <v>594</v>
      </c>
      <c r="G62" s="2">
        <v>1112</v>
      </c>
      <c r="H62" s="12">
        <v>307</v>
      </c>
      <c r="I62" s="11">
        <v>0.41107382550335569</v>
      </c>
      <c r="J62" s="11">
        <v>0.21364653243847875</v>
      </c>
      <c r="K62" s="11">
        <v>0.11073825503355705</v>
      </c>
      <c r="L62" s="11">
        <v>0.20730797912005966</v>
      </c>
      <c r="M62" s="11">
        <v>5.7233407904548846E-2</v>
      </c>
      <c r="N62" s="2">
        <v>4912</v>
      </c>
      <c r="O62" s="2">
        <v>3599</v>
      </c>
      <c r="P62" s="2">
        <v>1313</v>
      </c>
      <c r="Q62" s="3">
        <v>0.2673045602605863</v>
      </c>
    </row>
    <row r="63" spans="1:17" x14ac:dyDescent="0.35">
      <c r="A63" s="8" t="s">
        <v>60</v>
      </c>
      <c r="B63" s="2">
        <v>1469</v>
      </c>
      <c r="C63" s="2">
        <v>4323</v>
      </c>
      <c r="D63" s="2">
        <v>1335</v>
      </c>
      <c r="E63" s="2">
        <v>1954</v>
      </c>
      <c r="F63" s="1">
        <v>140</v>
      </c>
      <c r="G63" s="1">
        <v>473</v>
      </c>
      <c r="H63" s="12">
        <v>421</v>
      </c>
      <c r="I63" s="11">
        <v>0.30881332408049966</v>
      </c>
      <c r="J63" s="11">
        <v>0.45200092528336805</v>
      </c>
      <c r="K63" s="11">
        <v>3.2384917881101087E-2</v>
      </c>
      <c r="L63" s="11">
        <v>0.10941475826972011</v>
      </c>
      <c r="M63" s="11">
        <v>9.7386074485311128E-2</v>
      </c>
      <c r="N63" s="2">
        <v>3617</v>
      </c>
      <c r="O63" s="2">
        <v>3256</v>
      </c>
      <c r="P63" s="1">
        <v>361</v>
      </c>
      <c r="Q63" s="3">
        <v>9.9806469449820287E-2</v>
      </c>
    </row>
    <row r="65" spans="1:1" ht="24" x14ac:dyDescent="0.35">
      <c r="A65" s="18" t="s">
        <v>72</v>
      </c>
    </row>
    <row r="67" spans="1:1" ht="60" x14ac:dyDescent="0.35">
      <c r="A67" s="1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2025-03-10T17:56:32Z</dcterms:created>
  <dcterms:modified xsi:type="dcterms:W3CDTF">2025-12-02T22:26:57Z</dcterms:modified>
</cp:coreProperties>
</file>